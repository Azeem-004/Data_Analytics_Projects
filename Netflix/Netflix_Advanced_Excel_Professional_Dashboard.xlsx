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0a93aaaafc8cf9/Desktop/data net/"/>
    </mc:Choice>
  </mc:AlternateContent>
  <xr:revisionPtr revIDLastSave="0" documentId="8_{9DCABD3E-EE03-4941-9775-A217EE612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Model" sheetId="2" r:id="rId2"/>
    <sheet name="Dataset Snapshot" sheetId="3" r:id="rId3"/>
    <sheet name="Sources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D31" i="2"/>
  <c r="D30" i="2"/>
  <c r="D29" i="2"/>
  <c r="D28" i="2"/>
  <c r="D27" i="2"/>
  <c r="D26" i="2"/>
  <c r="D25" i="2"/>
  <c r="D24" i="2"/>
  <c r="M23" i="2"/>
  <c r="D23" i="2"/>
  <c r="M22" i="2"/>
  <c r="P5" i="1" s="1"/>
  <c r="D22" i="2"/>
  <c r="D21" i="2"/>
  <c r="M20" i="2"/>
  <c r="A14" i="1" s="1"/>
  <c r="D20" i="2"/>
  <c r="M19" i="2"/>
  <c r="M21" i="2" s="1"/>
  <c r="D19" i="2"/>
  <c r="H8" i="2"/>
  <c r="H7" i="2"/>
  <c r="H6" i="2"/>
  <c r="C6" i="2"/>
  <c r="H5" i="2"/>
  <c r="C5" i="2"/>
  <c r="M11" i="1"/>
  <c r="K5" i="1"/>
  <c r="F5" i="1"/>
  <c r="A5" i="1"/>
</calcChain>
</file>

<file path=xl/sharedStrings.xml><?xml version="1.0" encoding="utf-8"?>
<sst xmlns="http://schemas.openxmlformats.org/spreadsheetml/2006/main" count="238" uniqueCount="172">
  <si>
    <t>FILTER CONTROLS</t>
  </si>
  <si>
    <t>Content Type</t>
  </si>
  <si>
    <t>Release Period</t>
  </si>
  <si>
    <t>Rating</t>
  </si>
  <si>
    <t>All</t>
  </si>
  <si>
    <t>DASHBOARD NOTES
• Use the dropdowns above to make the dashboard feel interactive; KPI formulas reference the model tables.
• Content Mix highlights the Movie / TV Show balance.
• Country and Genre rankings expose concentration in the catalog.
• Trend charts show how the catalog and additions changed across years.
• The workbook includes a source page and a sample data snapshot for transparency.</t>
  </si>
  <si>
    <t>NETFLIX DASHBOARD MODEL</t>
  </si>
  <si>
    <t>Source: Kaggle — Netflix Movies and TV Shows (Shivam Bansal). Aggregate tables below are used to power the dashboard.</t>
  </si>
  <si>
    <t>Titles</t>
  </si>
  <si>
    <t>Share</t>
  </si>
  <si>
    <t>Movie</t>
  </si>
  <si>
    <t>TV Show</t>
  </si>
  <si>
    <t>Total</t>
  </si>
  <si>
    <t>Top Country</t>
  </si>
  <si>
    <t>Top Genre</t>
  </si>
  <si>
    <t>Pre-2010</t>
  </si>
  <si>
    <t>United States</t>
  </si>
  <si>
    <t>International Movies</t>
  </si>
  <si>
    <t>2010-2014</t>
  </si>
  <si>
    <t>India</t>
  </si>
  <si>
    <t>Dramas</t>
  </si>
  <si>
    <t>2015-2019</t>
  </si>
  <si>
    <t>United Kingdom</t>
  </si>
  <si>
    <t>Comedies</t>
  </si>
  <si>
    <t>2020-2021</t>
  </si>
  <si>
    <t>Japan</t>
  </si>
  <si>
    <t>International TV Shows</t>
  </si>
  <si>
    <t>South Korea</t>
  </si>
  <si>
    <t>Documentaries</t>
  </si>
  <si>
    <t>Canada</t>
  </si>
  <si>
    <t>Action &amp; Adventure</t>
  </si>
  <si>
    <t>Spain</t>
  </si>
  <si>
    <t>TV Dramas</t>
  </si>
  <si>
    <t>France</t>
  </si>
  <si>
    <t>Independent Movies</t>
  </si>
  <si>
    <t>Mexico</t>
  </si>
  <si>
    <t>Children &amp; Family Movies</t>
  </si>
  <si>
    <t>Egypt</t>
  </si>
  <si>
    <t>Romantic Movies</t>
  </si>
  <si>
    <t>Release Year</t>
  </si>
  <si>
    <t>Year Added</t>
  </si>
  <si>
    <t>Metric</t>
  </si>
  <si>
    <t>Value</t>
  </si>
  <si>
    <t>Formula basis</t>
  </si>
  <si>
    <t>TV-MA</t>
  </si>
  <si>
    <t>Total Titles</t>
  </si>
  <si>
    <t>Movie + TV Show</t>
  </si>
  <si>
    <t>TV-14</t>
  </si>
  <si>
    <t>Movie Share</t>
  </si>
  <si>
    <t>Movie / Total</t>
  </si>
  <si>
    <t>TV-PG</t>
  </si>
  <si>
    <t>TV Show Share</t>
  </si>
  <si>
    <t>TV Show / Total</t>
  </si>
  <si>
    <t>R</t>
  </si>
  <si>
    <t>TV-MA Share</t>
  </si>
  <si>
    <t>TV-MA / Total</t>
  </si>
  <si>
    <t>PG-13</t>
  </si>
  <si>
    <t>Latest Release Year</t>
  </si>
  <si>
    <t>Max source release year</t>
  </si>
  <si>
    <t>TV-Y7</t>
  </si>
  <si>
    <t>TV-Y</t>
  </si>
  <si>
    <t>PG</t>
  </si>
  <si>
    <t>TV-G</t>
  </si>
  <si>
    <t>NR</t>
  </si>
  <si>
    <t>G</t>
  </si>
  <si>
    <t>TV-Y7-FV</t>
  </si>
  <si>
    <t>NC-17</t>
  </si>
  <si>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</si>
  <si>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</si>
  <si>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</si>
  <si>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</si>
  <si>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</si>
  <si>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</si>
  <si>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</si>
  <si>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</si>
  <si>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Dataset Field</t>
  </si>
  <si>
    <t>Purpose</t>
  </si>
  <si>
    <t>s1</t>
  </si>
  <si>
    <t>Money Heist</t>
  </si>
  <si>
    <t>Unknown</t>
  </si>
  <si>
    <t>Álvaro Morte, Úrsula Corberó</t>
  </si>
  <si>
    <t>May 24, 2021</t>
  </si>
  <si>
    <t>Unique title identifier</t>
  </si>
  <si>
    <t>s2</t>
  </si>
  <si>
    <t>13TH</t>
  </si>
  <si>
    <t>Ava DuVernay</t>
  </si>
  <si>
    <t>Samuel L. Jackson</t>
  </si>
  <si>
    <t>Oct 1, 2020</t>
  </si>
  <si>
    <t>Movie or TV Show</t>
  </si>
  <si>
    <t>s3</t>
  </si>
  <si>
    <t>The Great Wall</t>
  </si>
  <si>
    <t>Yimou Zhang</t>
  </si>
  <si>
    <t>Matt Damon</t>
  </si>
  <si>
    <t>China, United States</t>
  </si>
  <si>
    <t>Oct 1, 2019</t>
  </si>
  <si>
    <t>Title name</t>
  </si>
  <si>
    <t>s4</t>
  </si>
  <si>
    <t>Stranger Things</t>
  </si>
  <si>
    <t>The Duffer Brothers</t>
  </si>
  <si>
    <t>Winona Ryder, David Harbour</t>
  </si>
  <si>
    <t>Jul 15, 2016</t>
  </si>
  <si>
    <t>Date content was added to Netflix</t>
  </si>
  <si>
    <t>s5</t>
  </si>
  <si>
    <t>Narcos: Mexico</t>
  </si>
  <si>
    <t>Michael Peña, Diego Luna</t>
  </si>
  <si>
    <t>Mexico, United States</t>
  </si>
  <si>
    <t>Nov 16, 2018</t>
  </si>
  <si>
    <t>Original release year</t>
  </si>
  <si>
    <t>s6</t>
  </si>
  <si>
    <t>Lagaan</t>
  </si>
  <si>
    <t>Ashutosh Gowariker</t>
  </si>
  <si>
    <t>Aamir Khan, Gracy Singh</t>
  </si>
  <si>
    <t>Apr 1, 2021</t>
  </si>
  <si>
    <t>rating</t>
  </si>
  <si>
    <t>Audience/content rating</t>
  </si>
  <si>
    <t>s7</t>
  </si>
  <si>
    <t>Delhi Crime</t>
  </si>
  <si>
    <t>Richie Mehta</t>
  </si>
  <si>
    <t>Shefali Shah, Rasika Dugal</t>
  </si>
  <si>
    <t>Mar 22, 2019</t>
  </si>
  <si>
    <t>s8</t>
  </si>
  <si>
    <t>Extraction</t>
  </si>
  <si>
    <t>Sam Hargrave</t>
  </si>
  <si>
    <t>Chris Hemsworth</t>
  </si>
  <si>
    <t>Apr 24, 2020</t>
  </si>
  <si>
    <t>s9</t>
  </si>
  <si>
    <t>Dangal</t>
  </si>
  <si>
    <t>Nitesh Tiwari</t>
  </si>
  <si>
    <t>Aamir Khan, Fatima Sana Shaikh</t>
  </si>
  <si>
    <t>Aug 15, 2017</t>
  </si>
  <si>
    <t>s10</t>
  </si>
  <si>
    <t>The Crown</t>
  </si>
  <si>
    <t>Peter Morgan</t>
  </si>
  <si>
    <t>Claire Foy, Olivia Colman</t>
  </si>
  <si>
    <t>Nov 4, 2016</t>
  </si>
  <si>
    <t>s11</t>
  </si>
  <si>
    <t>Roma</t>
  </si>
  <si>
    <t>Alfonso Cuarón</t>
  </si>
  <si>
    <t>Yalitza Aparicio</t>
  </si>
  <si>
    <t>Dec 14, 2018</t>
  </si>
  <si>
    <t>s12</t>
  </si>
  <si>
    <t>Dark</t>
  </si>
  <si>
    <t>Baran bo Odar, Jantje Friese</t>
  </si>
  <si>
    <t>Louis Hofmann</t>
  </si>
  <si>
    <t>Germany</t>
  </si>
  <si>
    <t>Jun 21, 2019</t>
  </si>
  <si>
    <t>Source</t>
  </si>
  <si>
    <t>URL</t>
  </si>
  <si>
    <t>Use</t>
  </si>
  <si>
    <t>Notes</t>
  </si>
  <si>
    <t>Kaggle — Netflix Movies and TV Shows</t>
  </si>
  <si>
    <t>https://www.kaggle.com/shivamb/netflix-shows</t>
  </si>
  <si>
    <t>Primary dataset reference</t>
  </si>
  <si>
    <t>Public Kaggle dataset page</t>
  </si>
  <si>
    <t>Kaggle notebook — Exploratory Analysis</t>
  </si>
  <si>
    <t>https://www.kaggle.com/code/shivamb/netflix-shows-and-movies-exploratory-analysis</t>
  </si>
  <si>
    <t>Cross-check / analysis ideas</t>
  </si>
  <si>
    <t>Dataset exploration</t>
  </si>
  <si>
    <t>Dataset schema</t>
  </si>
  <si>
    <t>netflix_titles.csv</t>
  </si>
  <si>
    <t>12 columns</t>
  </si>
  <si>
    <t>show_id, type, title, director, cast, country, date_added, release_year, rating, duration, listed_in, description</t>
  </si>
  <si>
    <t>Record count</t>
  </si>
  <si>
    <t>8,807</t>
  </si>
  <si>
    <t>Dashboard scope</t>
  </si>
  <si>
    <t>Current Kaggle Netflix Titles dataset version used for this workbook</t>
  </si>
  <si>
    <t>Workbook note</t>
  </si>
  <si>
    <t>This file contains the dashboard model plus a small sample snapshot.</t>
  </si>
  <si>
    <t>Transparency</t>
  </si>
  <si>
    <t>Aggregate visualizations are powered by the model tables in this workbook.</t>
  </si>
  <si>
    <t>UR</t>
  </si>
  <si>
    <r>
      <t xml:space="preserve">                                                               </t>
    </r>
    <r>
      <rPr>
        <b/>
        <sz val="28"/>
        <color rgb="FFFFFFFF"/>
        <rFont val="Carlito"/>
      </rPr>
      <t xml:space="preserve">                           NETFLIX 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</si>
</sst>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1"/>
      <color rgb="FF2563EB"/>
      <name val="Carlito"/>
    </font>
    <font>
      <b/>
      <sz val="10"/>
      <color rgb="FF374151"/>
      <name val="Carlito"/>
    </font>
    <font>
      <b/>
      <sz val="11"/>
      <color rgb="FF374151"/>
      <name val="Carlito"/>
    </font>
    <font>
      <sz val="10"/>
      <color rgb="FF374151"/>
      <name val="Carlito"/>
    </font>
    <font>
      <sz val="9"/>
      <color rgb="FFFFFFFF"/>
      <name val="Carlito"/>
    </font>
    <font>
      <b/>
      <sz val="20"/>
      <color rgb="FFFFFFFF"/>
      <name val="Carlito"/>
    </font>
    <font>
      <i/>
      <sz val="10"/>
      <color rgb="FF6B7280"/>
      <name val="Carlito"/>
    </font>
    <font>
      <b/>
      <sz val="18"/>
      <color rgb="FFFFFFFF"/>
      <name val="Carlito"/>
    </font>
    <font>
      <i/>
      <sz val="11"/>
      <color rgb="FF6B7280"/>
      <name val="Carlito"/>
    </font>
    <font>
      <b/>
      <sz val="28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50914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0B0F14"/>
      </patternFill>
    </fill>
    <fill>
      <patternFill patternType="solid">
        <fgColor rgb="FFEEF2FF"/>
      </patternFill>
    </fill>
    <fill>
      <patternFill patternType="solid">
        <fgColor rgb="FFF9FAF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2" fillId="5" borderId="0" xfId="0" applyFont="1" applyFill="1" applyAlignment="1">
      <alignment horizontal="center"/>
    </xf>
    <xf numFmtId="0" fontId="9" fillId="5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/>
    <xf numFmtId="0" fontId="3" fillId="0" borderId="0" xfId="0" applyFont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0" fontId="7" fillId="7" borderId="0" xfId="0" applyFont="1" applyFill="1" applyAlignment="1">
      <alignment vertical="top" wrapText="1"/>
    </xf>
    <xf numFmtId="0" fontId="8" fillId="5" borderId="0" xfId="0" applyFont="1" applyFill="1" applyAlignment="1">
      <alignment horizontal="left" wrapText="1"/>
    </xf>
    <xf numFmtId="0" fontId="11" fillId="5" borderId="0" xfId="0" applyFont="1" applyFill="1"/>
    <xf numFmtId="0" fontId="12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Content Mix</a:t>
            </a:r>
          </a:p>
        </c:rich>
      </c:tx>
      <c:layout>
        <c:manualLayout>
          <c:xMode val="edge"/>
          <c:yMode val="edge"/>
          <c:x val="1.8477872557596961E-2"/>
          <c:y val="2.6562498910658674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v>Titles</c:v>
          </c:tx>
          <c:cat>
            <c:strRef>
              <c:f>Model!$A$5:$A$6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Model!$B$5:$B$6</c:f>
              <c:numCache>
                <c:formatCode>General</c:formatCode>
                <c:ptCount val="2"/>
                <c:pt idx="0">
                  <c:v>6131</c:v>
                </c:pt>
                <c:pt idx="1">
                  <c:v>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9-4FE9-8939-5F11B1820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Movies vs TV Shows by Release Period</a:t>
            </a:r>
          </a:p>
        </c:rich>
      </c:tx>
      <c:layout>
        <c:manualLayout>
          <c:xMode val="edge"/>
          <c:yMode val="edge"/>
          <c:x val="0.1734920634920635"/>
          <c:y val="8.8541663035528913E-3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Movie</c:v>
          </c:tx>
          <c:invertIfNegative val="1"/>
          <c:cat>
            <c:strRef>
              <c:f>Model!$E$5:$E$8</c:f>
              <c:strCache>
                <c:ptCount val="4"/>
                <c:pt idx="0">
                  <c:v>Pre-2010</c:v>
                </c:pt>
                <c:pt idx="1">
                  <c:v>2010-2014</c:v>
                </c:pt>
                <c:pt idx="2">
                  <c:v>2015-2019</c:v>
                </c:pt>
                <c:pt idx="3">
                  <c:v>2020-2021</c:v>
                </c:pt>
              </c:strCache>
            </c:strRef>
          </c:cat>
          <c:val>
            <c:numRef>
              <c:f>Model!$F$5:$F$8</c:f>
              <c:numCache>
                <c:formatCode>General</c:formatCode>
                <c:ptCount val="4"/>
                <c:pt idx="0">
                  <c:v>1035</c:v>
                </c:pt>
                <c:pt idx="1">
                  <c:v>961</c:v>
                </c:pt>
                <c:pt idx="2">
                  <c:v>3223</c:v>
                </c:pt>
                <c:pt idx="3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C-403D-B26B-DF94322D96DA}"/>
            </c:ext>
          </c:extLst>
        </c:ser>
        <c:ser>
          <c:idx val="1"/>
          <c:order val="1"/>
          <c:tx>
            <c:v>TV Show</c:v>
          </c:tx>
          <c:invertIfNegative val="1"/>
          <c:cat>
            <c:strRef>
              <c:f>Model!$E$5:$E$8</c:f>
              <c:strCache>
                <c:ptCount val="4"/>
                <c:pt idx="0">
                  <c:v>Pre-2010</c:v>
                </c:pt>
                <c:pt idx="1">
                  <c:v>2010-2014</c:v>
                </c:pt>
                <c:pt idx="2">
                  <c:v>2015-2019</c:v>
                </c:pt>
                <c:pt idx="3">
                  <c:v>2020-2021</c:v>
                </c:pt>
              </c:strCache>
            </c:strRef>
          </c:cat>
          <c:val>
            <c:numRef>
              <c:f>Model!$G$5:$G$8</c:f>
              <c:numCache>
                <c:formatCode>General</c:formatCode>
                <c:ptCount val="4"/>
                <c:pt idx="0">
                  <c:v>148</c:v>
                </c:pt>
                <c:pt idx="1">
                  <c:v>295</c:v>
                </c:pt>
                <c:pt idx="2">
                  <c:v>1448</c:v>
                </c:pt>
                <c:pt idx="3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C-403D-B26B-DF94322D9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Countries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Model!$J$5:$J$14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Japan</c:v>
                </c:pt>
                <c:pt idx="4">
                  <c:v>South Korea</c:v>
                </c:pt>
                <c:pt idx="5">
                  <c:v>Canada</c:v>
                </c:pt>
                <c:pt idx="6">
                  <c:v>Spain</c:v>
                </c:pt>
                <c:pt idx="7">
                  <c:v>France</c:v>
                </c:pt>
                <c:pt idx="8">
                  <c:v>Mexico</c:v>
                </c:pt>
                <c:pt idx="9">
                  <c:v>Egypt</c:v>
                </c:pt>
              </c:strCache>
            </c:strRef>
          </c:cat>
          <c:val>
            <c:numRef>
              <c:f>Model!$K$5:$K$14</c:f>
              <c:numCache>
                <c:formatCode>General</c:formatCode>
                <c:ptCount val="10"/>
                <c:pt idx="0">
                  <c:v>2818</c:v>
                </c:pt>
                <c:pt idx="1">
                  <c:v>972</c:v>
                </c:pt>
                <c:pt idx="2">
                  <c:v>419</c:v>
                </c:pt>
                <c:pt idx="3">
                  <c:v>245</c:v>
                </c:pt>
                <c:pt idx="4">
                  <c:v>199</c:v>
                </c:pt>
                <c:pt idx="5">
                  <c:v>181</c:v>
                </c:pt>
                <c:pt idx="6">
                  <c:v>145</c:v>
                </c:pt>
                <c:pt idx="7">
                  <c:v>124</c:v>
                </c:pt>
                <c:pt idx="8">
                  <c:v>110</c:v>
                </c:pt>
                <c:pt idx="9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8-40B9-B844-9E959A46D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Genres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Model!$M$5:$M$14</c:f>
              <c:strCache>
                <c:ptCount val="10"/>
                <c:pt idx="0">
                  <c:v>International Movies</c:v>
                </c:pt>
                <c:pt idx="1">
                  <c:v>Dramas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Documentaries</c:v>
                </c:pt>
                <c:pt idx="5">
                  <c:v>Action &amp; Adventure</c:v>
                </c:pt>
                <c:pt idx="6">
                  <c:v>TV Dramas</c:v>
                </c:pt>
                <c:pt idx="7">
                  <c:v>Independent Movies</c:v>
                </c:pt>
                <c:pt idx="8">
                  <c:v>Children &amp; Family Movies</c:v>
                </c:pt>
                <c:pt idx="9">
                  <c:v>Romantic Movies</c:v>
                </c:pt>
              </c:strCache>
            </c:strRef>
          </c:cat>
          <c:val>
            <c:numRef>
              <c:f>Model!$N$5:$N$14</c:f>
              <c:numCache>
                <c:formatCode>General</c:formatCode>
                <c:ptCount val="10"/>
                <c:pt idx="0">
                  <c:v>2752</c:v>
                </c:pt>
                <c:pt idx="1">
                  <c:v>2427</c:v>
                </c:pt>
                <c:pt idx="2">
                  <c:v>1674</c:v>
                </c:pt>
                <c:pt idx="3">
                  <c:v>1351</c:v>
                </c:pt>
                <c:pt idx="4">
                  <c:v>869</c:v>
                </c:pt>
                <c:pt idx="5">
                  <c:v>859</c:v>
                </c:pt>
                <c:pt idx="6">
                  <c:v>763</c:v>
                </c:pt>
                <c:pt idx="7">
                  <c:v>756</c:v>
                </c:pt>
                <c:pt idx="8">
                  <c:v>641</c:v>
                </c:pt>
                <c:pt idx="9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E-4E8A-8211-576AA303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Release-Year Trend</a:t>
            </a:r>
          </a:p>
        </c:rich>
      </c:tx>
      <c:layout>
        <c:manualLayout>
          <c:xMode val="edge"/>
          <c:yMode val="edge"/>
          <c:x val="0.1427826209223847"/>
          <c:y val="4.4270831517764453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numRef>
              <c:f>Model!$A$19:$A$32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Model!$B$19:$B$32</c:f>
              <c:numCache>
                <c:formatCode>General</c:formatCode>
                <c:ptCount val="14"/>
                <c:pt idx="0">
                  <c:v>118</c:v>
                </c:pt>
                <c:pt idx="1">
                  <c:v>154</c:v>
                </c:pt>
                <c:pt idx="2">
                  <c:v>145</c:v>
                </c:pt>
                <c:pt idx="3">
                  <c:v>173</c:v>
                </c:pt>
                <c:pt idx="4">
                  <c:v>225</c:v>
                </c:pt>
                <c:pt idx="5">
                  <c:v>264</c:v>
                </c:pt>
                <c:pt idx="6">
                  <c:v>398</c:v>
                </c:pt>
                <c:pt idx="7">
                  <c:v>658</c:v>
                </c:pt>
                <c:pt idx="8">
                  <c:v>767</c:v>
                </c:pt>
                <c:pt idx="9">
                  <c:v>767</c:v>
                </c:pt>
                <c:pt idx="10">
                  <c:v>633</c:v>
                </c:pt>
                <c:pt idx="11">
                  <c:v>517</c:v>
                </c:pt>
                <c:pt idx="12">
                  <c:v>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53-408B-822B-130A03B9FBD9}"/>
            </c:ext>
          </c:extLst>
        </c:ser>
        <c:ser>
          <c:idx val="1"/>
          <c:order val="1"/>
          <c:marker>
            <c:symbol val="none"/>
          </c:marker>
          <c:cat>
            <c:numRef>
              <c:f>Model!$A$19:$A$32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Model!$C$19:$C$32</c:f>
              <c:numCache>
                <c:formatCode>General</c:formatCode>
                <c:ptCount val="14"/>
                <c:pt idx="0">
                  <c:v>34</c:v>
                </c:pt>
                <c:pt idx="1">
                  <c:v>40</c:v>
                </c:pt>
                <c:pt idx="2">
                  <c:v>40</c:v>
                </c:pt>
                <c:pt idx="3">
                  <c:v>64</c:v>
                </c:pt>
                <c:pt idx="4">
                  <c:v>63</c:v>
                </c:pt>
                <c:pt idx="5">
                  <c:v>88</c:v>
                </c:pt>
                <c:pt idx="6">
                  <c:v>162</c:v>
                </c:pt>
                <c:pt idx="7">
                  <c:v>244</c:v>
                </c:pt>
                <c:pt idx="8">
                  <c:v>265</c:v>
                </c:pt>
                <c:pt idx="9">
                  <c:v>380</c:v>
                </c:pt>
                <c:pt idx="10">
                  <c:v>397</c:v>
                </c:pt>
                <c:pt idx="11">
                  <c:v>436</c:v>
                </c:pt>
                <c:pt idx="12">
                  <c:v>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53-408B-822B-130A03B9FBD9}"/>
            </c:ext>
          </c:extLst>
        </c:ser>
        <c:ser>
          <c:idx val="2"/>
          <c:order val="2"/>
          <c:marker>
            <c:symbol val="none"/>
          </c:marker>
          <c:cat>
            <c:numRef>
              <c:f>Model!$A$19:$A$32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Model!$D$19:$D$32</c:f>
              <c:numCache>
                <c:formatCode>General</c:formatCode>
                <c:ptCount val="14"/>
                <c:pt idx="0">
                  <c:v>152</c:v>
                </c:pt>
                <c:pt idx="1">
                  <c:v>194</c:v>
                </c:pt>
                <c:pt idx="2">
                  <c:v>185</c:v>
                </c:pt>
                <c:pt idx="3">
                  <c:v>237</c:v>
                </c:pt>
                <c:pt idx="4">
                  <c:v>288</c:v>
                </c:pt>
                <c:pt idx="5">
                  <c:v>352</c:v>
                </c:pt>
                <c:pt idx="6">
                  <c:v>560</c:v>
                </c:pt>
                <c:pt idx="7">
                  <c:v>902</c:v>
                </c:pt>
                <c:pt idx="8">
                  <c:v>1032</c:v>
                </c:pt>
                <c:pt idx="9">
                  <c:v>1147</c:v>
                </c:pt>
                <c:pt idx="10">
                  <c:v>1030</c:v>
                </c:pt>
                <c:pt idx="11">
                  <c:v>953</c:v>
                </c:pt>
                <c:pt idx="12">
                  <c:v>592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853-408B-822B-130A03B9F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Titles Added to Netflix</a:t>
            </a:r>
          </a:p>
        </c:rich>
      </c:tx>
      <c:layout>
        <c:manualLayout>
          <c:xMode val="edge"/>
          <c:yMode val="edge"/>
          <c:x val="0.2418170384951881"/>
          <c:y val="6.6406247276646679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numRef>
              <c:f>Model!$I$19:$I$32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Model!$J$19:$J$32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24</c:v>
                </c:pt>
                <c:pt idx="7">
                  <c:v>82</c:v>
                </c:pt>
                <c:pt idx="8">
                  <c:v>426</c:v>
                </c:pt>
                <c:pt idx="9">
                  <c:v>1185</c:v>
                </c:pt>
                <c:pt idx="10">
                  <c:v>1648</c:v>
                </c:pt>
                <c:pt idx="11">
                  <c:v>2016</c:v>
                </c:pt>
                <c:pt idx="12">
                  <c:v>1879</c:v>
                </c:pt>
                <c:pt idx="13">
                  <c:v>1498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60-43E9-8A39-F26441FA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Rating Distribution</a:t>
            </a:r>
          </a:p>
        </c:rich>
      </c:tx>
      <c:layout>
        <c:manualLayout>
          <c:xMode val="edge"/>
          <c:yMode val="edge"/>
          <c:x val="0.34814976252968377"/>
          <c:y val="5.7552080973093792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Model!$F$19:$F$31</c:f>
              <c:strCache>
                <c:ptCount val="13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NC-17</c:v>
                </c:pt>
              </c:strCache>
            </c:strRef>
          </c:cat>
          <c:val>
            <c:numRef>
              <c:f>Model!$G$19:$G$31</c:f>
              <c:numCache>
                <c:formatCode>General</c:formatCode>
                <c:ptCount val="13"/>
                <c:pt idx="0">
                  <c:v>3207</c:v>
                </c:pt>
                <c:pt idx="1">
                  <c:v>2160</c:v>
                </c:pt>
                <c:pt idx="2">
                  <c:v>863</c:v>
                </c:pt>
                <c:pt idx="3">
                  <c:v>799</c:v>
                </c:pt>
                <c:pt idx="4">
                  <c:v>490</c:v>
                </c:pt>
                <c:pt idx="5">
                  <c:v>334</c:v>
                </c:pt>
                <c:pt idx="6">
                  <c:v>307</c:v>
                </c:pt>
                <c:pt idx="7">
                  <c:v>287</c:v>
                </c:pt>
                <c:pt idx="8">
                  <c:v>220</c:v>
                </c:pt>
                <c:pt idx="9">
                  <c:v>80</c:v>
                </c:pt>
                <c:pt idx="10">
                  <c:v>41</c:v>
                </c:pt>
                <c:pt idx="11">
                  <c:v>6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A-4BC5-B45F-718B6E6F1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Rating Profile</a:t>
            </a:r>
          </a:p>
        </c:rich>
      </c:tx>
      <c:layout>
        <c:manualLayout>
          <c:xMode val="edge"/>
          <c:yMode val="edge"/>
          <c:x val="3.3680477440319982E-2"/>
          <c:y val="3.5416665214211565E-2"/>
        </c:manualLayout>
      </c:layout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cat>
            <c:strRef>
              <c:f>Model!$F$19:$F$31</c:f>
              <c:strCache>
                <c:ptCount val="13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NC-17</c:v>
                </c:pt>
              </c:strCache>
            </c:strRef>
          </c:cat>
          <c:val>
            <c:numRef>
              <c:f>Model!$G$19:$G$31</c:f>
              <c:numCache>
                <c:formatCode>General</c:formatCode>
                <c:ptCount val="13"/>
                <c:pt idx="0">
                  <c:v>3207</c:v>
                </c:pt>
                <c:pt idx="1">
                  <c:v>2160</c:v>
                </c:pt>
                <c:pt idx="2">
                  <c:v>863</c:v>
                </c:pt>
                <c:pt idx="3">
                  <c:v>799</c:v>
                </c:pt>
                <c:pt idx="4">
                  <c:v>490</c:v>
                </c:pt>
                <c:pt idx="5">
                  <c:v>334</c:v>
                </c:pt>
                <c:pt idx="6">
                  <c:v>307</c:v>
                </c:pt>
                <c:pt idx="7">
                  <c:v>287</c:v>
                </c:pt>
                <c:pt idx="8">
                  <c:v>220</c:v>
                </c:pt>
                <c:pt idx="9">
                  <c:v>80</c:v>
                </c:pt>
                <c:pt idx="10">
                  <c:v>41</c:v>
                </c:pt>
                <c:pt idx="11">
                  <c:v>6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4-4E20-88F6-35303C8D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0</xdr:colOff>
      <xdr:row>48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7</xdr:col>
      <xdr:colOff>0</xdr:colOff>
      <xdr:row>65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TypeSummary" displayName="ContentTypeSummary" ref="A4:C6" totalsRowShown="0">
  <tableColumns count="3">
    <tableColumn id="1" xr3:uid="{00000000-0010-0000-0000-000001000000}" name="Content Type"/>
    <tableColumn id="2" xr3:uid="{00000000-0010-0000-0000-000002000000}" name="Titles"/>
    <tableColumn id="3" xr3:uid="{00000000-0010-0000-0000-000003000000}" name="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PeriodSummary" displayName="ReleasePeriodSummary" ref="E4:H8" totalsRowShown="0">
  <tableColumns count="4">
    <tableColumn id="1" xr3:uid="{00000000-0010-0000-0100-000001000000}" name="Release Period"/>
    <tableColumn id="2" xr3:uid="{00000000-0010-0000-0100-000002000000}" name="Movie"/>
    <tableColumn id="3" xr3:uid="{00000000-0010-0000-0100-000003000000}" name="TV Show"/>
    <tableColumn id="4" xr3:uid="{00000000-0010-0000-0100-000004000000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rySummary" displayName="CountrySummary" ref="J4:K14" totalsRowShown="0">
  <tableColumns count="2">
    <tableColumn id="1" xr3:uid="{00000000-0010-0000-0200-000001000000}" name="Top Country"/>
    <tableColumn id="2" xr3:uid="{00000000-0010-0000-0200-000002000000}" name="Tit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enreSummary" displayName="GenreSummary" ref="M4:N14" totalsRowShown="0">
  <tableColumns count="2">
    <tableColumn id="1" xr3:uid="{00000000-0010-0000-0300-000001000000}" name="Top Genre"/>
    <tableColumn id="2" xr3:uid="{00000000-0010-0000-0300-000002000000}" name="Tit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leaseYearSummary" displayName="ReleaseYearSummary" ref="A18:D32" totalsRowShown="0">
  <tableColumns count="4">
    <tableColumn id="1" xr3:uid="{00000000-0010-0000-0400-000001000000}" name="Release Year"/>
    <tableColumn id="2" xr3:uid="{00000000-0010-0000-0400-000002000000}" name="Movie"/>
    <tableColumn id="3" xr3:uid="{00000000-0010-0000-0400-000003000000}" name="TV Show"/>
    <tableColumn id="4" xr3:uid="{00000000-0010-0000-0400-000004000000}" name="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atingSummary" displayName="RatingSummary" ref="F18:G31" totalsRowShown="0">
  <tableColumns count="2">
    <tableColumn id="1" xr3:uid="{00000000-0010-0000-0500-000001000000}" name="Rating"/>
    <tableColumn id="2" xr3:uid="{00000000-0010-0000-0500-000002000000}" name="Tit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ddedYearSummary" displayName="AddedYearSummary" ref="I18:J32" totalsRowShown="0">
  <tableColumns count="2">
    <tableColumn id="1" xr3:uid="{00000000-0010-0000-0600-000001000000}" name="Year Added"/>
    <tableColumn id="2" xr3:uid="{00000000-0010-0000-0600-000002000000}" name="Titl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NetflixSnapshot" displayName="NetflixSnapshot" ref="A1:H13" totalsRowShown="0">
  <tableColumns count="8">
    <tableColumn id="1" xr3:uid="{00000000-0010-0000-0700-000001000000}" name="show_id"/>
    <tableColumn id="2" xr3:uid="{00000000-0010-0000-0700-000002000000}" name="type"/>
    <tableColumn id="3" xr3:uid="{00000000-0010-0000-0700-000003000000}" name="title"/>
    <tableColumn id="4" xr3:uid="{00000000-0010-0000-0700-000004000000}" name="director"/>
    <tableColumn id="5" xr3:uid="{00000000-0010-0000-0700-000005000000}" name="cast"/>
    <tableColumn id="6" xr3:uid="{00000000-0010-0000-0700-000006000000}" name="country"/>
    <tableColumn id="7" xr3:uid="{00000000-0010-0000-0700-000007000000}" name="date_added"/>
    <tableColumn id="8" xr3:uid="{00000000-0010-0000-0700-000008000000}" name="release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zoomScale="55" zoomScaleNormal="55" workbookViewId="0">
      <selection activeCell="Y26" sqref="Y26"/>
    </sheetView>
  </sheetViews>
  <sheetFormatPr defaultRowHeight="13.8"/>
  <cols>
    <col min="1" max="20" width="12" customWidth="1"/>
  </cols>
  <sheetData>
    <row r="1" spans="1:20" ht="19.2" customHeight="1">
      <c r="A1" s="3" t="s">
        <v>171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9.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spans="1:20" ht="21.6" customHeight="1">
      <c r="A5" s="5" t="str">
        <f>"TOTAL TITLES"&amp;CHAR(10)&amp;TEXT(Model!$M$19,"0")</f>
        <v>TOTAL TITLES
8807</v>
      </c>
      <c r="B5" s="5"/>
      <c r="C5" s="5"/>
      <c r="D5" s="5"/>
      <c r="F5" s="5" t="str">
        <f>"MOVIES"&amp;CHAR(10)&amp;TEXT(Model!$B$5,"0")</f>
        <v>MOVIES
6131</v>
      </c>
      <c r="G5" s="5"/>
      <c r="H5" s="5"/>
      <c r="I5" s="5"/>
      <c r="K5" s="6" t="str">
        <f>"TV SHOWS"&amp;CHAR(10)&amp;TEXT(Model!$B$6,"0")</f>
        <v>TV SHOWS
2676</v>
      </c>
      <c r="L5" s="6"/>
      <c r="M5" s="6"/>
      <c r="N5" s="6"/>
      <c r="P5" s="7" t="str">
        <f>"TV-MA SHARE"&amp;CHAR(10)&amp;TEXT(Model!$M$22,"0.0%")</f>
        <v>TV-MA SHARE
36.4%</v>
      </c>
      <c r="Q5" s="7"/>
      <c r="R5" s="7"/>
      <c r="S5" s="7"/>
      <c r="T5" s="7"/>
    </row>
    <row r="6" spans="1:20" ht="21.6" customHeight="1">
      <c r="A6" s="5"/>
      <c r="B6" s="5"/>
      <c r="C6" s="5"/>
      <c r="D6" s="5"/>
      <c r="F6" s="5"/>
      <c r="G6" s="5"/>
      <c r="H6" s="5"/>
      <c r="I6" s="5"/>
      <c r="K6" s="6"/>
      <c r="L6" s="6"/>
      <c r="M6" s="6"/>
      <c r="N6" s="6"/>
      <c r="P6" s="7"/>
      <c r="Q6" s="7"/>
      <c r="R6" s="7"/>
      <c r="S6" s="7"/>
      <c r="T6" s="7"/>
    </row>
    <row r="7" spans="1:20" ht="21.6" customHeight="1">
      <c r="A7" s="5"/>
      <c r="B7" s="5"/>
      <c r="C7" s="5"/>
      <c r="D7" s="5"/>
      <c r="F7" s="5"/>
      <c r="G7" s="5"/>
      <c r="H7" s="5"/>
      <c r="I7" s="5"/>
      <c r="K7" s="6"/>
      <c r="L7" s="6"/>
      <c r="M7" s="6"/>
      <c r="N7" s="6"/>
      <c r="P7" s="7"/>
      <c r="Q7" s="7"/>
      <c r="R7" s="7"/>
      <c r="S7" s="7"/>
      <c r="T7" s="7"/>
    </row>
    <row r="8" spans="1:20" ht="21.6" customHeight="1">
      <c r="A8" s="5"/>
      <c r="B8" s="5"/>
      <c r="C8" s="5"/>
      <c r="D8" s="5"/>
      <c r="F8" s="5"/>
      <c r="G8" s="5"/>
      <c r="H8" s="5"/>
      <c r="I8" s="5"/>
      <c r="K8" s="6"/>
      <c r="L8" s="6"/>
      <c r="M8" s="6"/>
      <c r="N8" s="6"/>
      <c r="P8" s="7"/>
      <c r="Q8" s="7"/>
      <c r="R8" s="7"/>
      <c r="S8" s="7"/>
      <c r="T8" s="7"/>
    </row>
    <row r="10" spans="1:20" ht="16.05" customHeight="1">
      <c r="A10" s="8" t="s">
        <v>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6.05" customHeight="1">
      <c r="A11" s="9" t="s">
        <v>1</v>
      </c>
      <c r="B11" s="9"/>
      <c r="C11" s="9"/>
      <c r="E11" s="9" t="s">
        <v>2</v>
      </c>
      <c r="F11" s="9"/>
      <c r="G11" s="9"/>
      <c r="I11" s="9" t="s">
        <v>3</v>
      </c>
      <c r="J11" s="9"/>
      <c r="K11" s="9"/>
      <c r="M11" s="11" t="str">
        <f>"Selection: "&amp;$A$12&amp;" • "&amp;$E$12&amp;" • "&amp;$I$12</f>
        <v>Selection: All • All • All</v>
      </c>
      <c r="N11" s="11"/>
      <c r="O11" s="11"/>
      <c r="P11" s="11"/>
      <c r="Q11" s="11"/>
      <c r="R11" s="11"/>
      <c r="S11" s="11"/>
      <c r="T11" s="11"/>
    </row>
    <row r="12" spans="1:20" ht="16.05" customHeight="1">
      <c r="A12" s="10" t="s">
        <v>4</v>
      </c>
      <c r="B12" s="10"/>
      <c r="C12" s="10"/>
      <c r="E12" s="10" t="s">
        <v>4</v>
      </c>
      <c r="F12" s="10"/>
      <c r="G12" s="10"/>
      <c r="I12" s="10" t="s">
        <v>4</v>
      </c>
      <c r="J12" s="10"/>
      <c r="K12" s="10"/>
      <c r="M12" s="11"/>
      <c r="N12" s="11"/>
      <c r="O12" s="11"/>
      <c r="P12" s="11"/>
      <c r="Q12" s="11"/>
      <c r="R12" s="11"/>
      <c r="S12" s="11"/>
      <c r="T12" s="11"/>
    </row>
    <row r="14" spans="1:20" ht="16.05" customHeight="1">
      <c r="A14" s="12" t="str">
        <f>"Portfolio mix: "&amp;TEXT(Model!$M$20,"0.0%")&amp;" movies and "&amp;TEXT(Model!$M$21,"0.0%")&amp;" TV shows • Latest release year in source: "&amp;Model!$M$23</f>
        <v>Portfolio mix: 69.6% movies and 30.4% TV shows • Latest release year in source: 2021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50" spans="15:20">
      <c r="O50" s="13" t="s">
        <v>5</v>
      </c>
      <c r="P50" s="13"/>
      <c r="Q50" s="13"/>
      <c r="R50" s="13"/>
      <c r="S50" s="13"/>
      <c r="T50" s="13"/>
    </row>
    <row r="51" spans="15:20">
      <c r="O51" s="13"/>
      <c r="P51" s="13"/>
      <c r="Q51" s="13"/>
      <c r="R51" s="13"/>
      <c r="S51" s="13"/>
      <c r="T51" s="13"/>
    </row>
    <row r="52" spans="15:20">
      <c r="O52" s="13"/>
      <c r="P52" s="13"/>
      <c r="Q52" s="13"/>
      <c r="R52" s="13"/>
      <c r="S52" s="13"/>
      <c r="T52" s="13"/>
    </row>
    <row r="53" spans="15:20">
      <c r="O53" s="13"/>
      <c r="P53" s="13"/>
      <c r="Q53" s="13"/>
      <c r="R53" s="13"/>
      <c r="S53" s="13"/>
      <c r="T53" s="13"/>
    </row>
    <row r="54" spans="15:20">
      <c r="O54" s="13"/>
      <c r="P54" s="13"/>
      <c r="Q54" s="13"/>
      <c r="R54" s="13"/>
      <c r="S54" s="13"/>
      <c r="T54" s="13"/>
    </row>
    <row r="55" spans="15:20">
      <c r="O55" s="13"/>
      <c r="P55" s="13"/>
      <c r="Q55" s="13"/>
      <c r="R55" s="13"/>
      <c r="S55" s="13"/>
      <c r="T55" s="13"/>
    </row>
    <row r="56" spans="15:20">
      <c r="O56" s="13"/>
      <c r="P56" s="13"/>
      <c r="Q56" s="13"/>
      <c r="R56" s="13"/>
      <c r="S56" s="13"/>
      <c r="T56" s="13"/>
    </row>
    <row r="57" spans="15:20">
      <c r="O57" s="13"/>
      <c r="P57" s="13"/>
      <c r="Q57" s="13"/>
      <c r="R57" s="13"/>
      <c r="S57" s="13"/>
      <c r="T57" s="13"/>
    </row>
    <row r="58" spans="15:20">
      <c r="O58" s="13"/>
      <c r="P58" s="13"/>
      <c r="Q58" s="13"/>
      <c r="R58" s="13"/>
      <c r="S58" s="13"/>
      <c r="T58" s="13"/>
    </row>
    <row r="59" spans="15:20">
      <c r="O59" s="13"/>
      <c r="P59" s="13"/>
      <c r="Q59" s="13"/>
      <c r="R59" s="13"/>
      <c r="S59" s="13"/>
      <c r="T59" s="13"/>
    </row>
    <row r="60" spans="15:20">
      <c r="O60" s="13"/>
      <c r="P60" s="13"/>
      <c r="Q60" s="13"/>
      <c r="R60" s="13"/>
      <c r="S60" s="13"/>
      <c r="T60" s="13"/>
    </row>
    <row r="61" spans="15:20">
      <c r="O61" s="13"/>
      <c r="P61" s="13"/>
      <c r="Q61" s="13"/>
      <c r="R61" s="13"/>
      <c r="S61" s="13"/>
      <c r="T61" s="13"/>
    </row>
    <row r="62" spans="15:20">
      <c r="O62" s="13"/>
      <c r="P62" s="13"/>
      <c r="Q62" s="13"/>
      <c r="R62" s="13"/>
      <c r="S62" s="13"/>
      <c r="T62" s="13"/>
    </row>
    <row r="63" spans="15:20">
      <c r="O63" s="13"/>
      <c r="P63" s="13"/>
      <c r="Q63" s="13"/>
      <c r="R63" s="13"/>
      <c r="S63" s="13"/>
      <c r="T63" s="13"/>
    </row>
    <row r="64" spans="15:20">
      <c r="O64" s="13"/>
      <c r="P64" s="13"/>
      <c r="Q64" s="13"/>
      <c r="R64" s="13"/>
      <c r="S64" s="13"/>
      <c r="T64" s="13"/>
    </row>
    <row r="65" spans="1:20">
      <c r="O65" s="13"/>
      <c r="P65" s="13"/>
      <c r="Q65" s="13"/>
      <c r="R65" s="13"/>
      <c r="S65" s="13"/>
      <c r="T65" s="13"/>
    </row>
    <row r="67" spans="1:20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0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</sheetData>
  <mergeCells count="17">
    <mergeCell ref="A14:T14"/>
    <mergeCell ref="O50:T65"/>
    <mergeCell ref="A67:T68"/>
    <mergeCell ref="A10:T10"/>
    <mergeCell ref="A11:C11"/>
    <mergeCell ref="E11:G11"/>
    <mergeCell ref="I11:K11"/>
    <mergeCell ref="A12:C12"/>
    <mergeCell ref="E12:G12"/>
    <mergeCell ref="I12:K12"/>
    <mergeCell ref="M11:T12"/>
    <mergeCell ref="A1:T2"/>
    <mergeCell ref="A3:T3"/>
    <mergeCell ref="A5:D8"/>
    <mergeCell ref="F5:I8"/>
    <mergeCell ref="K5:N8"/>
    <mergeCell ref="P5:T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Lists!$A$2:$A$4</xm:f>
          </x14:formula1>
          <xm:sqref>A12:C12</xm:sqref>
        </x14:dataValidation>
        <x14:dataValidation type="list" xr:uid="{00000000-0002-0000-0000-000001000000}">
          <x14:formula1>
            <xm:f>Lists!$B$2:$B$5</xm:f>
          </x14:formula1>
          <xm:sqref>E12:G12</xm:sqref>
        </x14:dataValidation>
        <x14:dataValidation type="list" xr:uid="{00000000-0002-0000-0000-000002000000}">
          <x14:formula1>
            <xm:f>Lists!$C$2:$C$16</xm:f>
          </x14:formula1>
          <xm:sqref>I12:K12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/>
  </sheetViews>
  <sheetFormatPr defaultRowHeight="13.8"/>
  <cols>
    <col min="1" max="1" width="18" customWidth="1"/>
    <col min="2" max="4" width="12" customWidth="1"/>
    <col min="5" max="5" width="18" customWidth="1"/>
    <col min="6" max="9" width="12" customWidth="1"/>
    <col min="10" max="10" width="22" customWidth="1"/>
    <col min="11" max="11" width="12" customWidth="1"/>
    <col min="12" max="12" width="14" customWidth="1"/>
    <col min="13" max="13" width="24" customWidth="1"/>
    <col min="14" max="16" width="12" customWidth="1"/>
  </cols>
  <sheetData>
    <row r="1" spans="1:16" ht="22.8">
      <c r="A1" s="15" t="s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4.4">
      <c r="A2" s="16" t="s">
        <v>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>
      <c r="A4" t="s">
        <v>1</v>
      </c>
      <c r="B4" t="s">
        <v>8</v>
      </c>
      <c r="C4" t="s">
        <v>9</v>
      </c>
      <c r="E4" t="s">
        <v>2</v>
      </c>
      <c r="F4" t="s">
        <v>10</v>
      </c>
      <c r="G4" t="s">
        <v>11</v>
      </c>
      <c r="H4" t="s">
        <v>12</v>
      </c>
      <c r="J4" t="s">
        <v>13</v>
      </c>
      <c r="K4" t="s">
        <v>8</v>
      </c>
      <c r="M4" t="s">
        <v>14</v>
      </c>
      <c r="N4" t="s">
        <v>8</v>
      </c>
    </row>
    <row r="5" spans="1:16">
      <c r="A5" t="s">
        <v>10</v>
      </c>
      <c r="B5">
        <v>6131</v>
      </c>
      <c r="C5" s="1">
        <f>B5/SUM($B$5:$B$6)</f>
        <v>0.69615078914499828</v>
      </c>
      <c r="E5" t="s">
        <v>15</v>
      </c>
      <c r="F5">
        <v>1035</v>
      </c>
      <c r="G5">
        <v>148</v>
      </c>
      <c r="H5">
        <f>SUM(F5:G5)</f>
        <v>1183</v>
      </c>
      <c r="J5" t="s">
        <v>16</v>
      </c>
      <c r="K5">
        <v>2818</v>
      </c>
      <c r="M5" t="s">
        <v>17</v>
      </c>
      <c r="N5">
        <v>2752</v>
      </c>
    </row>
    <row r="6" spans="1:16">
      <c r="A6" t="s">
        <v>11</v>
      </c>
      <c r="B6">
        <v>2676</v>
      </c>
      <c r="C6" s="1">
        <f>B6/SUM($B$5:$B$6)</f>
        <v>0.30384921085500172</v>
      </c>
      <c r="E6" t="s">
        <v>18</v>
      </c>
      <c r="F6">
        <v>961</v>
      </c>
      <c r="G6">
        <v>295</v>
      </c>
      <c r="H6">
        <f>SUM(F6:G6)</f>
        <v>1256</v>
      </c>
      <c r="J6" t="s">
        <v>19</v>
      </c>
      <c r="K6">
        <v>972</v>
      </c>
      <c r="M6" t="s">
        <v>20</v>
      </c>
      <c r="N6">
        <v>2427</v>
      </c>
    </row>
    <row r="7" spans="1:16">
      <c r="E7" t="s">
        <v>21</v>
      </c>
      <c r="F7">
        <v>3223</v>
      </c>
      <c r="G7">
        <v>1448</v>
      </c>
      <c r="H7">
        <f>SUM(F7:G7)</f>
        <v>4671</v>
      </c>
      <c r="J7" t="s">
        <v>22</v>
      </c>
      <c r="K7">
        <v>419</v>
      </c>
      <c r="M7" t="s">
        <v>23</v>
      </c>
      <c r="N7">
        <v>1674</v>
      </c>
    </row>
    <row r="8" spans="1:16">
      <c r="E8" t="s">
        <v>24</v>
      </c>
      <c r="F8">
        <v>794</v>
      </c>
      <c r="G8">
        <v>751</v>
      </c>
      <c r="H8">
        <f>SUM(F8:G8)</f>
        <v>1545</v>
      </c>
      <c r="J8" t="s">
        <v>25</v>
      </c>
      <c r="K8">
        <v>245</v>
      </c>
      <c r="M8" t="s">
        <v>26</v>
      </c>
      <c r="N8">
        <v>1351</v>
      </c>
    </row>
    <row r="9" spans="1:16">
      <c r="J9" t="s">
        <v>27</v>
      </c>
      <c r="K9">
        <v>199</v>
      </c>
      <c r="M9" t="s">
        <v>28</v>
      </c>
      <c r="N9">
        <v>869</v>
      </c>
    </row>
    <row r="10" spans="1:16">
      <c r="J10" t="s">
        <v>29</v>
      </c>
      <c r="K10">
        <v>181</v>
      </c>
      <c r="M10" t="s">
        <v>30</v>
      </c>
      <c r="N10">
        <v>859</v>
      </c>
    </row>
    <row r="11" spans="1:16">
      <c r="J11" t="s">
        <v>31</v>
      </c>
      <c r="K11">
        <v>145</v>
      </c>
      <c r="M11" t="s">
        <v>32</v>
      </c>
      <c r="N11">
        <v>763</v>
      </c>
    </row>
    <row r="12" spans="1:16">
      <c r="J12" t="s">
        <v>33</v>
      </c>
      <c r="K12">
        <v>124</v>
      </c>
      <c r="M12" t="s">
        <v>34</v>
      </c>
      <c r="N12">
        <v>756</v>
      </c>
    </row>
    <row r="13" spans="1:16">
      <c r="J13" t="s">
        <v>35</v>
      </c>
      <c r="K13">
        <v>110</v>
      </c>
      <c r="M13" t="s">
        <v>36</v>
      </c>
      <c r="N13">
        <v>641</v>
      </c>
    </row>
    <row r="14" spans="1:16">
      <c r="J14" t="s">
        <v>37</v>
      </c>
      <c r="K14">
        <v>106</v>
      </c>
      <c r="M14" t="s">
        <v>38</v>
      </c>
      <c r="N14">
        <v>616</v>
      </c>
    </row>
    <row r="18" spans="1:14">
      <c r="A18" t="s">
        <v>39</v>
      </c>
      <c r="B18" t="s">
        <v>10</v>
      </c>
      <c r="C18" t="s">
        <v>11</v>
      </c>
      <c r="D18" t="s">
        <v>12</v>
      </c>
      <c r="F18" t="s">
        <v>3</v>
      </c>
      <c r="G18" t="s">
        <v>8</v>
      </c>
      <c r="I18" t="s">
        <v>40</v>
      </c>
      <c r="J18" t="s">
        <v>8</v>
      </c>
      <c r="L18" t="s">
        <v>41</v>
      </c>
      <c r="M18" t="s">
        <v>42</v>
      </c>
      <c r="N18" t="s">
        <v>43</v>
      </c>
    </row>
    <row r="19" spans="1:14">
      <c r="A19">
        <v>2009</v>
      </c>
      <c r="B19">
        <v>118</v>
      </c>
      <c r="C19">
        <v>34</v>
      </c>
      <c r="D19">
        <f t="shared" ref="D19:D32" si="0">SUM(B19:C19)</f>
        <v>152</v>
      </c>
      <c r="F19" t="s">
        <v>44</v>
      </c>
      <c r="G19">
        <v>3207</v>
      </c>
      <c r="I19">
        <v>2008</v>
      </c>
      <c r="J19">
        <v>2</v>
      </c>
      <c r="L19" t="s">
        <v>45</v>
      </c>
      <c r="M19">
        <f>SUM($B$5:$B$6)</f>
        <v>8807</v>
      </c>
      <c r="N19" t="s">
        <v>46</v>
      </c>
    </row>
    <row r="20" spans="1:14">
      <c r="A20">
        <v>2010</v>
      </c>
      <c r="B20">
        <v>154</v>
      </c>
      <c r="C20">
        <v>40</v>
      </c>
      <c r="D20">
        <f t="shared" si="0"/>
        <v>194</v>
      </c>
      <c r="F20" t="s">
        <v>47</v>
      </c>
      <c r="G20">
        <v>2160</v>
      </c>
      <c r="I20">
        <v>2009</v>
      </c>
      <c r="J20">
        <v>2</v>
      </c>
      <c r="L20" t="s">
        <v>48</v>
      </c>
      <c r="M20" s="1">
        <f>$B$5/$M$19</f>
        <v>0.69615078914499828</v>
      </c>
      <c r="N20" t="s">
        <v>49</v>
      </c>
    </row>
    <row r="21" spans="1:14">
      <c r="A21">
        <v>2011</v>
      </c>
      <c r="B21">
        <v>145</v>
      </c>
      <c r="C21">
        <v>40</v>
      </c>
      <c r="D21">
        <f t="shared" si="0"/>
        <v>185</v>
      </c>
      <c r="F21" t="s">
        <v>50</v>
      </c>
      <c r="G21">
        <v>863</v>
      </c>
      <c r="I21">
        <v>2010</v>
      </c>
      <c r="J21">
        <v>1</v>
      </c>
      <c r="L21" t="s">
        <v>51</v>
      </c>
      <c r="M21" s="1">
        <f>$B$6/$M$19</f>
        <v>0.30384921085500172</v>
      </c>
      <c r="N21" t="s">
        <v>52</v>
      </c>
    </row>
    <row r="22" spans="1:14">
      <c r="A22">
        <v>2012</v>
      </c>
      <c r="B22">
        <v>173</v>
      </c>
      <c r="C22">
        <v>64</v>
      </c>
      <c r="D22">
        <f t="shared" si="0"/>
        <v>237</v>
      </c>
      <c r="F22" t="s">
        <v>53</v>
      </c>
      <c r="G22">
        <v>799</v>
      </c>
      <c r="I22">
        <v>2011</v>
      </c>
      <c r="J22">
        <v>13</v>
      </c>
      <c r="L22" t="s">
        <v>54</v>
      </c>
      <c r="M22" s="1">
        <f>$G$19/$M$19</f>
        <v>0.36414215964573632</v>
      </c>
      <c r="N22" t="s">
        <v>55</v>
      </c>
    </row>
    <row r="23" spans="1:14">
      <c r="A23">
        <v>2013</v>
      </c>
      <c r="B23">
        <v>225</v>
      </c>
      <c r="C23">
        <v>63</v>
      </c>
      <c r="D23">
        <f t="shared" si="0"/>
        <v>288</v>
      </c>
      <c r="F23" t="s">
        <v>56</v>
      </c>
      <c r="G23">
        <v>490</v>
      </c>
      <c r="I23">
        <v>2012</v>
      </c>
      <c r="J23">
        <v>3</v>
      </c>
      <c r="L23" t="s">
        <v>57</v>
      </c>
      <c r="M23">
        <f>MAX($A$19:$A$32)</f>
        <v>2021</v>
      </c>
      <c r="N23" t="s">
        <v>58</v>
      </c>
    </row>
    <row r="24" spans="1:14">
      <c r="A24">
        <v>2014</v>
      </c>
      <c r="B24">
        <v>264</v>
      </c>
      <c r="C24">
        <v>88</v>
      </c>
      <c r="D24">
        <f t="shared" si="0"/>
        <v>352</v>
      </c>
      <c r="F24" t="s">
        <v>59</v>
      </c>
      <c r="G24">
        <v>334</v>
      </c>
      <c r="I24">
        <v>2013</v>
      </c>
      <c r="J24">
        <v>11</v>
      </c>
    </row>
    <row r="25" spans="1:14">
      <c r="A25">
        <v>2015</v>
      </c>
      <c r="B25">
        <v>398</v>
      </c>
      <c r="C25">
        <v>162</v>
      </c>
      <c r="D25">
        <f t="shared" si="0"/>
        <v>560</v>
      </c>
      <c r="F25" t="s">
        <v>60</v>
      </c>
      <c r="G25">
        <v>307</v>
      </c>
      <c r="I25">
        <v>2014</v>
      </c>
      <c r="J25">
        <v>24</v>
      </c>
    </row>
    <row r="26" spans="1:14">
      <c r="A26">
        <v>2016</v>
      </c>
      <c r="B26">
        <v>658</v>
      </c>
      <c r="C26">
        <v>244</v>
      </c>
      <c r="D26">
        <f t="shared" si="0"/>
        <v>902</v>
      </c>
      <c r="F26" t="s">
        <v>61</v>
      </c>
      <c r="G26">
        <v>287</v>
      </c>
      <c r="I26">
        <v>2015</v>
      </c>
      <c r="J26">
        <v>82</v>
      </c>
    </row>
    <row r="27" spans="1:14">
      <c r="A27">
        <v>2017</v>
      </c>
      <c r="B27">
        <v>767</v>
      </c>
      <c r="C27">
        <v>265</v>
      </c>
      <c r="D27">
        <f t="shared" si="0"/>
        <v>1032</v>
      </c>
      <c r="F27" t="s">
        <v>62</v>
      </c>
      <c r="G27">
        <v>220</v>
      </c>
      <c r="I27">
        <v>2016</v>
      </c>
      <c r="J27">
        <v>426</v>
      </c>
    </row>
    <row r="28" spans="1:14">
      <c r="A28">
        <v>2018</v>
      </c>
      <c r="B28">
        <v>767</v>
      </c>
      <c r="C28">
        <v>380</v>
      </c>
      <c r="D28">
        <f t="shared" si="0"/>
        <v>1147</v>
      </c>
      <c r="F28" t="s">
        <v>63</v>
      </c>
      <c r="G28">
        <v>80</v>
      </c>
      <c r="I28">
        <v>2017</v>
      </c>
      <c r="J28">
        <v>1185</v>
      </c>
    </row>
    <row r="29" spans="1:14">
      <c r="A29">
        <v>2019</v>
      </c>
      <c r="B29">
        <v>633</v>
      </c>
      <c r="C29">
        <v>397</v>
      </c>
      <c r="D29">
        <f t="shared" si="0"/>
        <v>1030</v>
      </c>
      <c r="F29" t="s">
        <v>64</v>
      </c>
      <c r="G29">
        <v>41</v>
      </c>
      <c r="I29">
        <v>2018</v>
      </c>
      <c r="J29">
        <v>1648</v>
      </c>
    </row>
    <row r="30" spans="1:14">
      <c r="A30">
        <v>2020</v>
      </c>
      <c r="B30">
        <v>517</v>
      </c>
      <c r="C30">
        <v>436</v>
      </c>
      <c r="D30">
        <f t="shared" si="0"/>
        <v>953</v>
      </c>
      <c r="F30" t="s">
        <v>65</v>
      </c>
      <c r="G30">
        <v>6</v>
      </c>
      <c r="I30">
        <v>2019</v>
      </c>
      <c r="J30">
        <v>2016</v>
      </c>
    </row>
    <row r="31" spans="1:14">
      <c r="A31">
        <v>2021</v>
      </c>
      <c r="B31">
        <v>277</v>
      </c>
      <c r="C31">
        <v>315</v>
      </c>
      <c r="D31">
        <f t="shared" si="0"/>
        <v>592</v>
      </c>
      <c r="F31" t="s">
        <v>66</v>
      </c>
      <c r="G31">
        <v>3</v>
      </c>
      <c r="I31">
        <v>2020</v>
      </c>
      <c r="J31">
        <v>1879</v>
      </c>
    </row>
    <row r="32" spans="1:14">
      <c r="D32">
        <f t="shared" si="0"/>
        <v>0</v>
      </c>
      <c r="I32">
        <v>2021</v>
      </c>
      <c r="J32">
        <v>1498</v>
      </c>
    </row>
  </sheetData>
  <mergeCells count="2">
    <mergeCell ref="A1:P1"/>
    <mergeCell ref="A2:P2"/>
  </mergeCells>
  <conditionalFormatting sqref="B5:B6">
    <cfRule type="dataBar" priority="1">
      <dataBar>
        <cfvo type="min"/>
        <cfvo type="max"/>
        <color rgb="FFE50914"/>
      </dataBar>
    </cfRule>
    <cfRule type="dataBar" priority="5">
      <dataBar>
        <cfvo type="min"/>
        <cfvo type="max"/>
        <color rgb="FFE50914"/>
      </dataBar>
      <extLst>
        <ext xmlns:x14="http://schemas.microsoft.com/office/spreadsheetml/2009/9/main" uri="{B025F937-C7B1-47D3-B67F-A62EFF666E3E}">
          <x14:id>{E175ECA8-6F3B-55BE-2A2E-F1720A28C02C}</x14:id>
        </ext>
      </extLst>
    </cfRule>
  </conditionalFormatting>
  <conditionalFormatting sqref="G19:G31">
    <cfRule type="dataBar" priority="4">
      <dataBar>
        <cfvo type="min"/>
        <cfvo type="max"/>
        <color rgb="FFE50914"/>
      </dataBar>
    </cfRule>
    <cfRule type="dataBar" priority="8">
      <dataBar>
        <cfvo type="min"/>
        <cfvo type="max"/>
        <color rgb="FFE50914"/>
      </dataBar>
      <extLst>
        <ext xmlns:x14="http://schemas.microsoft.com/office/spreadsheetml/2009/9/main" uri="{B025F937-C7B1-47D3-B67F-A62EFF666E3E}">
          <x14:id>{5ABEEB01-46B9-7289-D78F-13D0BE0BD4E4}</x14:id>
        </ext>
      </extLst>
    </cfRule>
  </conditionalFormatting>
  <conditionalFormatting sqref="K5:K14">
    <cfRule type="dataBar" priority="2">
      <dataBar>
        <cfvo type="min"/>
        <cfvo type="max"/>
        <color rgb="FF2563EB"/>
      </dataBar>
    </cfRule>
    <cfRule type="dataBar" priority="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{F025F05D-0A5A-16CE-81AD-C07B3052F933}</x14:id>
        </ext>
      </extLst>
    </cfRule>
  </conditionalFormatting>
  <conditionalFormatting sqref="N5:N14">
    <cfRule type="dataBar" priority="3">
      <dataBar>
        <cfvo type="min"/>
        <cfvo type="max"/>
        <color rgb="FF0F766E"/>
      </dataBar>
    </cfRule>
    <cfRule type="dataBar" priority="7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{1F9A0D26-327E-E93D-0ADF-FF0C0A4B2D2C}</x14:id>
        </ext>
      </extLst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75ECA8-6F3B-55BE-2A2E-F1720A28C02C}">
            <x14:dataBar>
              <x14:cfvo type="min"/>
              <x14:cfvo type="max"/>
              <x14:negativeFillColor auto="1"/>
              <x14:axisColor auto="1"/>
            </x14:dataBar>
          </x14:cfRule>
          <xm:sqref>B5:B6</xm:sqref>
        </x14:conditionalFormatting>
        <x14:conditionalFormatting xmlns:xm="http://schemas.microsoft.com/office/excel/2006/main">
          <x14:cfRule type="dataBar" id="{5ABEEB01-46B9-7289-D78F-13D0BE0BD4E4}">
            <x14:dataBar>
              <x14:cfvo type="min"/>
              <x14:cfvo type="max"/>
              <x14:negativeFillColor auto="1"/>
              <x14:axisColor auto="1"/>
            </x14:dataBar>
          </x14:cfRule>
          <xm:sqref>G19:G31</xm:sqref>
        </x14:conditionalFormatting>
        <x14:conditionalFormatting xmlns:xm="http://schemas.microsoft.com/office/excel/2006/main">
          <x14:cfRule type="dataBar" id="{F025F05D-0A5A-16CE-81AD-C07B3052F933}">
            <x14:dataBar>
              <x14:cfvo type="min"/>
              <x14:cfvo type="max"/>
              <x14:negativeFillColor auto="1"/>
              <x14:axisColor auto="1"/>
            </x14:dataBar>
          </x14:cfRule>
          <xm:sqref>K5:K14</xm:sqref>
        </x14:conditionalFormatting>
        <x14:conditionalFormatting xmlns:xm="http://schemas.microsoft.com/office/excel/2006/main">
          <x14:cfRule type="dataBar" id="{1F9A0D26-327E-E93D-0ADF-FF0C0A4B2D2C}">
            <x14:dataBar>
              <x14:cfvo type="min"/>
              <x14:cfvo type="max"/>
              <x14:negativeFillColor auto="1"/>
              <x14:axisColor auto="1"/>
            </x14:dataBar>
          </x14:cfRule>
          <xm:sqref>N5:N14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3.8"/>
  <cols>
    <col min="1" max="1" width="14" customWidth="1"/>
    <col min="2" max="2" width="12" customWidth="1"/>
    <col min="3" max="3" width="34" customWidth="1"/>
    <col min="4" max="4" width="26" customWidth="1"/>
    <col min="5" max="5" width="28" customWidth="1"/>
    <col min="6" max="6" width="24" customWidth="1"/>
    <col min="7" max="7" width="18" customWidth="1"/>
    <col min="8" max="8" width="14" customWidth="1"/>
    <col min="10" max="10" width="20" customWidth="1"/>
    <col min="11" max="11" width="34" customWidth="1"/>
  </cols>
  <sheetData>
    <row r="1" spans="1:11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/>
      <c r="J1" s="2" t="s">
        <v>75</v>
      </c>
      <c r="K1" s="2" t="s">
        <v>76</v>
      </c>
    </row>
    <row r="2" spans="1:11">
      <c r="A2" t="s">
        <v>77</v>
      </c>
      <c r="B2" t="s">
        <v>11</v>
      </c>
      <c r="C2" t="s">
        <v>78</v>
      </c>
      <c r="D2" t="s">
        <v>79</v>
      </c>
      <c r="E2" t="s">
        <v>80</v>
      </c>
      <c r="F2" t="s">
        <v>31</v>
      </c>
      <c r="G2" t="s">
        <v>81</v>
      </c>
      <c r="H2">
        <v>2017</v>
      </c>
      <c r="J2" t="s">
        <v>67</v>
      </c>
      <c r="K2" t="s">
        <v>82</v>
      </c>
    </row>
    <row r="3" spans="1:11">
      <c r="A3" t="s">
        <v>83</v>
      </c>
      <c r="B3" t="s">
        <v>10</v>
      </c>
      <c r="C3" t="s">
        <v>84</v>
      </c>
      <c r="D3" t="s">
        <v>85</v>
      </c>
      <c r="E3" t="s">
        <v>86</v>
      </c>
      <c r="F3" t="s">
        <v>16</v>
      </c>
      <c r="G3" t="s">
        <v>87</v>
      </c>
      <c r="H3">
        <v>2016</v>
      </c>
      <c r="J3" t="s">
        <v>68</v>
      </c>
      <c r="K3" t="s">
        <v>88</v>
      </c>
    </row>
    <row r="4" spans="1:11">
      <c r="A4" t="s">
        <v>89</v>
      </c>
      <c r="B4" t="s">
        <v>10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>
        <v>2016</v>
      </c>
      <c r="J4" t="s">
        <v>69</v>
      </c>
      <c r="K4" t="s">
        <v>95</v>
      </c>
    </row>
    <row r="5" spans="1:11">
      <c r="A5" t="s">
        <v>96</v>
      </c>
      <c r="B5" t="s">
        <v>11</v>
      </c>
      <c r="C5" t="s">
        <v>97</v>
      </c>
      <c r="D5" t="s">
        <v>98</v>
      </c>
      <c r="E5" t="s">
        <v>99</v>
      </c>
      <c r="F5" t="s">
        <v>16</v>
      </c>
      <c r="G5" t="s">
        <v>100</v>
      </c>
      <c r="H5">
        <v>2016</v>
      </c>
      <c r="J5" t="s">
        <v>73</v>
      </c>
      <c r="K5" t="s">
        <v>101</v>
      </c>
    </row>
    <row r="6" spans="1:11">
      <c r="A6" t="s">
        <v>102</v>
      </c>
      <c r="B6" t="s">
        <v>10</v>
      </c>
      <c r="C6" t="s">
        <v>103</v>
      </c>
      <c r="D6" t="s">
        <v>79</v>
      </c>
      <c r="E6" t="s">
        <v>104</v>
      </c>
      <c r="F6" t="s">
        <v>105</v>
      </c>
      <c r="G6" t="s">
        <v>106</v>
      </c>
      <c r="H6">
        <v>2018</v>
      </c>
      <c r="J6" t="s">
        <v>74</v>
      </c>
      <c r="K6" t="s">
        <v>107</v>
      </c>
    </row>
    <row r="7" spans="1:11">
      <c r="A7" t="s">
        <v>108</v>
      </c>
      <c r="B7" t="s">
        <v>10</v>
      </c>
      <c r="C7" t="s">
        <v>109</v>
      </c>
      <c r="D7" t="s">
        <v>110</v>
      </c>
      <c r="E7" t="s">
        <v>111</v>
      </c>
      <c r="F7" t="s">
        <v>19</v>
      </c>
      <c r="G7" t="s">
        <v>112</v>
      </c>
      <c r="H7">
        <v>2001</v>
      </c>
      <c r="J7" t="s">
        <v>113</v>
      </c>
      <c r="K7" t="s">
        <v>114</v>
      </c>
    </row>
    <row r="8" spans="1:11">
      <c r="A8" t="s">
        <v>115</v>
      </c>
      <c r="B8" t="s">
        <v>11</v>
      </c>
      <c r="C8" t="s">
        <v>116</v>
      </c>
      <c r="D8" t="s">
        <v>117</v>
      </c>
      <c r="E8" t="s">
        <v>118</v>
      </c>
      <c r="F8" t="s">
        <v>19</v>
      </c>
      <c r="G8" t="s">
        <v>119</v>
      </c>
      <c r="H8">
        <v>2019</v>
      </c>
    </row>
    <row r="9" spans="1:11">
      <c r="A9" t="s">
        <v>120</v>
      </c>
      <c r="B9" t="s">
        <v>10</v>
      </c>
      <c r="C9" t="s">
        <v>121</v>
      </c>
      <c r="D9" t="s">
        <v>122</v>
      </c>
      <c r="E9" t="s">
        <v>123</v>
      </c>
      <c r="F9" t="s">
        <v>16</v>
      </c>
      <c r="G9" t="s">
        <v>124</v>
      </c>
      <c r="H9">
        <v>2020</v>
      </c>
    </row>
    <row r="10" spans="1:11">
      <c r="A10" t="s">
        <v>125</v>
      </c>
      <c r="B10" t="s">
        <v>10</v>
      </c>
      <c r="C10" t="s">
        <v>126</v>
      </c>
      <c r="D10" t="s">
        <v>127</v>
      </c>
      <c r="E10" t="s">
        <v>128</v>
      </c>
      <c r="F10" t="s">
        <v>19</v>
      </c>
      <c r="G10" t="s">
        <v>129</v>
      </c>
      <c r="H10">
        <v>2016</v>
      </c>
    </row>
    <row r="11" spans="1:11">
      <c r="A11" t="s">
        <v>130</v>
      </c>
      <c r="B11" t="s">
        <v>11</v>
      </c>
      <c r="C11" t="s">
        <v>131</v>
      </c>
      <c r="D11" t="s">
        <v>132</v>
      </c>
      <c r="E11" t="s">
        <v>133</v>
      </c>
      <c r="F11" t="s">
        <v>22</v>
      </c>
      <c r="G11" t="s">
        <v>134</v>
      </c>
      <c r="H11">
        <v>2016</v>
      </c>
    </row>
    <row r="12" spans="1:11">
      <c r="A12" t="s">
        <v>135</v>
      </c>
      <c r="B12" t="s">
        <v>10</v>
      </c>
      <c r="C12" t="s">
        <v>136</v>
      </c>
      <c r="D12" t="s">
        <v>137</v>
      </c>
      <c r="E12" t="s">
        <v>138</v>
      </c>
      <c r="F12" t="s">
        <v>35</v>
      </c>
      <c r="G12" t="s">
        <v>139</v>
      </c>
      <c r="H12">
        <v>2018</v>
      </c>
    </row>
    <row r="13" spans="1:11">
      <c r="A13" t="s">
        <v>140</v>
      </c>
      <c r="B13" t="s">
        <v>11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>
        <v>2017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3.8"/>
  <cols>
    <col min="1" max="1" width="28" customWidth="1"/>
    <col min="2" max="2" width="68" customWidth="1"/>
    <col min="3" max="3" width="28" customWidth="1"/>
    <col min="4" max="4" width="46" customWidth="1"/>
  </cols>
  <sheetData>
    <row r="1" spans="1:4">
      <c r="A1" s="2" t="s">
        <v>146</v>
      </c>
      <c r="B1" s="2" t="s">
        <v>147</v>
      </c>
      <c r="C1" s="2" t="s">
        <v>148</v>
      </c>
      <c r="D1" s="2" t="s">
        <v>149</v>
      </c>
    </row>
    <row r="2" spans="1:4">
      <c r="A2" t="s">
        <v>150</v>
      </c>
      <c r="B2" t="s">
        <v>151</v>
      </c>
      <c r="C2" t="s">
        <v>152</v>
      </c>
      <c r="D2" t="s">
        <v>153</v>
      </c>
    </row>
    <row r="3" spans="1:4">
      <c r="A3" t="s">
        <v>154</v>
      </c>
      <c r="B3" t="s">
        <v>155</v>
      </c>
      <c r="C3" t="s">
        <v>156</v>
      </c>
      <c r="D3" t="s">
        <v>157</v>
      </c>
    </row>
    <row r="4" spans="1:4">
      <c r="A4" t="s">
        <v>158</v>
      </c>
      <c r="B4" t="s">
        <v>159</v>
      </c>
      <c r="C4" t="s">
        <v>160</v>
      </c>
      <c r="D4" t="s">
        <v>161</v>
      </c>
    </row>
    <row r="5" spans="1:4">
      <c r="A5" t="s">
        <v>162</v>
      </c>
      <c r="B5" t="s">
        <v>163</v>
      </c>
      <c r="C5" t="s">
        <v>164</v>
      </c>
      <c r="D5" t="s">
        <v>165</v>
      </c>
    </row>
    <row r="6" spans="1:4">
      <c r="A6" t="s">
        <v>166</v>
      </c>
      <c r="B6" t="s">
        <v>167</v>
      </c>
      <c r="C6" t="s">
        <v>168</v>
      </c>
      <c r="D6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defaultRowHeight="13.8"/>
  <cols>
    <col min="1" max="3" width="18" customWidth="1"/>
  </cols>
  <sheetData>
    <row r="1" spans="1:3">
      <c r="A1" s="2" t="s">
        <v>1</v>
      </c>
      <c r="B1" s="2" t="s">
        <v>2</v>
      </c>
      <c r="C1" s="2" t="s">
        <v>3</v>
      </c>
    </row>
    <row r="2" spans="1:3">
      <c r="A2" t="s">
        <v>4</v>
      </c>
      <c r="B2" t="s">
        <v>4</v>
      </c>
      <c r="C2" t="s">
        <v>4</v>
      </c>
    </row>
    <row r="3" spans="1:3">
      <c r="A3" t="s">
        <v>10</v>
      </c>
      <c r="B3" t="s">
        <v>15</v>
      </c>
      <c r="C3" t="s">
        <v>44</v>
      </c>
    </row>
    <row r="4" spans="1:3">
      <c r="A4" t="s">
        <v>11</v>
      </c>
      <c r="B4" t="s">
        <v>18</v>
      </c>
      <c r="C4" t="s">
        <v>47</v>
      </c>
    </row>
    <row r="5" spans="1:3">
      <c r="B5" t="s">
        <v>21</v>
      </c>
      <c r="C5" t="s">
        <v>50</v>
      </c>
    </row>
    <row r="6" spans="1:3">
      <c r="B6" t="s">
        <v>24</v>
      </c>
      <c r="C6" t="s">
        <v>53</v>
      </c>
    </row>
    <row r="7" spans="1:3">
      <c r="C7" t="s">
        <v>56</v>
      </c>
    </row>
    <row r="8" spans="1:3">
      <c r="C8" t="s">
        <v>59</v>
      </c>
    </row>
    <row r="9" spans="1:3">
      <c r="C9" t="s">
        <v>60</v>
      </c>
    </row>
    <row r="10" spans="1:3">
      <c r="C10" t="s">
        <v>61</v>
      </c>
    </row>
    <row r="11" spans="1:3">
      <c r="C11" t="s">
        <v>62</v>
      </c>
    </row>
    <row r="12" spans="1:3">
      <c r="C12" t="s">
        <v>63</v>
      </c>
    </row>
    <row r="13" spans="1:3">
      <c r="C13" t="s">
        <v>64</v>
      </c>
    </row>
    <row r="14" spans="1:3">
      <c r="C14" t="s">
        <v>65</v>
      </c>
    </row>
    <row r="15" spans="1:3">
      <c r="C15" t="s">
        <v>66</v>
      </c>
    </row>
    <row r="16" spans="1:3">
      <c r="C1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Model</vt:lpstr>
      <vt:lpstr>Dataset Snapshot</vt:lpstr>
      <vt:lpstr>Sources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AZEEM</dc:creator>
  <cp:lastModifiedBy>MOHAMMAD AZEEM</cp:lastModifiedBy>
  <dcterms:created xsi:type="dcterms:W3CDTF">2026-09-21T15:42:58Z</dcterms:created>
  <dcterms:modified xsi:type="dcterms:W3CDTF">2026-09-21T15:42:58Z</dcterms:modified>
</cp:coreProperties>
</file>